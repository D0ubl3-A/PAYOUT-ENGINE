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MONTH" sheetId="1" state="visible" r:id="rId1"/>
    <sheet name="HOSTS" sheetId="2" state="visible" r:id="rId2"/>
    <sheet name="RECRUITERS" sheetId="3" state="visible" r:id="rId3"/>
    <sheet name="BOUNTY_EVENTS_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month</t>
        </is>
      </c>
      <c r="B2" t="inlineStr">
        <is>
          <t>2026-03</t>
        </is>
      </c>
    </row>
    <row r="3">
      <c r="A3" t="inlineStr">
        <is>
          <t>actual_agency_commission_usd</t>
        </is>
      </c>
      <c r="B3" t="n">
        <v>1000</v>
      </c>
    </row>
    <row r="4">
      <c r="A4" t="inlineStr">
        <is>
          <t>host_bonus_pool_percent</t>
        </is>
      </c>
      <c r="B4" t="n">
        <v>0.6</v>
      </c>
    </row>
    <row r="5">
      <c r="A5" t="inlineStr">
        <is>
          <t>recruiter_pool_percent</t>
        </is>
      </c>
      <c r="B5" t="n">
        <v>0.07000000000000001</v>
      </c>
    </row>
    <row r="6">
      <c r="A6" t="inlineStr">
        <is>
          <t>sunset_pool_percent</t>
        </is>
      </c>
      <c r="B6" t="n">
        <v>0.15</v>
      </c>
    </row>
    <row r="7">
      <c r="A7" t="inlineStr">
        <is>
          <t>total_agency_gross_usd</t>
        </is>
      </c>
      <c r="B7" t="n">
        <v>5000</v>
      </c>
    </row>
    <row r="8">
      <c r="A8" t="inlineStr">
        <is>
          <t>spacer_1</t>
        </is>
      </c>
      <c r="B8" t="inlineStr"/>
    </row>
    <row r="9">
      <c r="A9" t="inlineStr">
        <is>
          <t>spacer_2</t>
        </is>
      </c>
      <c r="B9" t="inlineStr"/>
    </row>
    <row r="10">
      <c r="A10" t="inlineStr">
        <is>
          <t>host_bonus_pool_usd</t>
        </is>
      </c>
      <c r="B10">
        <f>B3*B4</f>
        <v/>
      </c>
    </row>
    <row r="11">
      <c r="A11" t="inlineStr">
        <is>
          <t>recruiter_pool_usd</t>
        </is>
      </c>
      <c r="B11">
        <f>B7*B5</f>
        <v/>
      </c>
    </row>
    <row r="12">
      <c r="A12" t="inlineStr">
        <is>
          <t>sunset_pool_usd</t>
        </is>
      </c>
      <c r="B12">
        <f>B3*B6</f>
        <v/>
      </c>
    </row>
    <row r="13">
      <c r="A13" t="inlineStr">
        <is>
          <t>sunset_pool_active</t>
        </is>
      </c>
      <c r="B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host_id</t>
        </is>
      </c>
      <c r="B1" t="inlineStr">
        <is>
          <t>recruiter_id</t>
        </is>
      </c>
      <c r="C1" t="inlineStr">
        <is>
          <t>beans</t>
        </is>
      </c>
      <c r="D1" t="inlineStr">
        <is>
          <t>hours_streamed</t>
        </is>
      </c>
      <c r="E1" t="inlineStr">
        <is>
          <t>tier</t>
        </is>
      </c>
      <c r="F1" t="inlineStr">
        <is>
          <t>tier_base_pay_usd</t>
        </is>
      </c>
      <c r="G1" t="inlineStr">
        <is>
          <t>eligible_for_bonus</t>
        </is>
      </c>
      <c r="H1" t="inlineStr">
        <is>
          <t>hit_tier_this_month</t>
        </is>
      </c>
      <c r="I1" t="inlineStr">
        <is>
          <t>host_active_months</t>
        </is>
      </c>
      <c r="J1" t="inlineStr">
        <is>
          <t>bonus_pool_share_usd</t>
        </is>
      </c>
      <c r="K1" t="inlineStr">
        <is>
          <t>host_total_pay_usd</t>
        </is>
      </c>
      <c r="L1" t="inlineStr">
        <is>
          <t>reserved_1</t>
        </is>
      </c>
      <c r="M1" t="inlineStr">
        <is>
          <t>reserved_2</t>
        </is>
      </c>
      <c r="N1" t="inlineStr">
        <is>
          <t>eligible_total_beans</t>
        </is>
      </c>
    </row>
    <row r="2">
      <c r="A2" t="inlineStr">
        <is>
          <t>H1</t>
        </is>
      </c>
      <c r="B2" t="inlineStr">
        <is>
          <t>R1</t>
        </is>
      </c>
      <c r="C2" t="n">
        <v>1000</v>
      </c>
      <c r="D2" t="n">
        <v>40</v>
      </c>
      <c r="E2" t="inlineStr">
        <is>
          <t>T1</t>
        </is>
      </c>
      <c r="F2" t="n">
        <v>100</v>
      </c>
      <c r="G2" t="b">
        <v>1</v>
      </c>
      <c r="H2" t="b">
        <v>1</v>
      </c>
      <c r="I2" t="n">
        <v>3</v>
      </c>
      <c r="J2">
        <f>IF(G2&lt;&gt;TRUE,0,IF($N$2=0,0,(C2/$N$2)*INPUTS_MONTH!$B$10))</f>
        <v/>
      </c>
      <c r="K2">
        <f>F2+J2</f>
        <v/>
      </c>
      <c r="N2">
        <f>SUMIF(G:G,TRUE,C:C)</f>
        <v/>
      </c>
    </row>
    <row r="3">
      <c r="A3" t="inlineStr">
        <is>
          <t>H2</t>
        </is>
      </c>
      <c r="B3" t="inlineStr">
        <is>
          <t>R1</t>
        </is>
      </c>
      <c r="C3" t="n">
        <v>500</v>
      </c>
      <c r="D3" t="n">
        <v>35</v>
      </c>
      <c r="E3" t="inlineStr">
        <is>
          <t>T1</t>
        </is>
      </c>
      <c r="F3" t="n">
        <v>80</v>
      </c>
      <c r="G3" t="b">
        <v>1</v>
      </c>
      <c r="H3" t="b">
        <v>0</v>
      </c>
      <c r="I3" t="n">
        <v>2</v>
      </c>
      <c r="J3">
        <f>IF(G3&lt;&gt;TRUE,0,IF($N$2=0,0,(C3/$N$2)*INPUTS_MONTH!$B$10))</f>
        <v/>
      </c>
      <c r="K3">
        <f>F3+J3</f>
        <v/>
      </c>
    </row>
    <row r="4">
      <c r="A4" t="inlineStr">
        <is>
          <t>H3</t>
        </is>
      </c>
      <c r="B4" t="inlineStr">
        <is>
          <t>R2</t>
        </is>
      </c>
      <c r="C4" t="n">
        <v>500</v>
      </c>
      <c r="D4" t="n">
        <v>20</v>
      </c>
      <c r="E4" t="inlineStr">
        <is>
          <t>T0</t>
        </is>
      </c>
      <c r="F4" t="n">
        <v>50</v>
      </c>
      <c r="G4" t="b">
        <v>0</v>
      </c>
      <c r="H4" t="b">
        <v>1</v>
      </c>
      <c r="I4" t="n">
        <v>3</v>
      </c>
      <c r="J4">
        <f>IF(G4&lt;&gt;TRUE,0,IF($N$2=0,0,(C4/$N$2)*INPUTS_MONTH!$B$10))</f>
        <v/>
      </c>
      <c r="K4">
        <f>F4+J4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recruiter_id</t>
        </is>
      </c>
      <c r="B1" t="inlineStr">
        <is>
          <t>active_hosts_count</t>
        </is>
      </c>
      <c r="C1" t="inlineStr">
        <is>
          <t>new_qualifying_host_this_month</t>
        </is>
      </c>
      <c r="D1" t="inlineStr">
        <is>
          <t>eligible_for_recruiter_pool</t>
        </is>
      </c>
      <c r="E1" t="inlineStr">
        <is>
          <t>recruiter_contribution_beans</t>
        </is>
      </c>
      <c r="F1" t="inlineStr">
        <is>
          <t>recruiter_pool_share_usd</t>
        </is>
      </c>
      <c r="G1" t="inlineStr">
        <is>
          <t>sunset_pool_share_usd</t>
        </is>
      </c>
      <c r="H1" t="inlineStr">
        <is>
          <t>bounty_payout_usd</t>
        </is>
      </c>
      <c r="I1" t="inlineStr">
        <is>
          <t>total_recruiter_payout_usd</t>
        </is>
      </c>
      <c r="J1" t="inlineStr">
        <is>
          <t>legacy_recruiter</t>
        </is>
      </c>
      <c r="K1" t="inlineStr">
        <is>
          <t>total_recruiter_contribution_beans</t>
        </is>
      </c>
    </row>
    <row r="2">
      <c r="A2" t="inlineStr">
        <is>
          <t>R1</t>
        </is>
      </c>
      <c r="B2" t="n">
        <v>2</v>
      </c>
      <c r="C2" t="b">
        <v>1</v>
      </c>
      <c r="D2">
        <f>OR(B2&gt;=3,C2=TRUE)</f>
        <v/>
      </c>
      <c r="E2">
        <f>IF(D2&lt;&gt;TRUE,0,SUMIFS(HOSTS!C:C,HOSTS!B:B,A2,HOSTS!H:H,TRUE))</f>
        <v/>
      </c>
      <c r="F2">
        <f>IF(D2&lt;&gt;TRUE,0,IF($K$2=0,0,(E2/$K$2)*INPUTS_MONTH!$B$11))</f>
        <v/>
      </c>
      <c r="G2">
        <f>IF(OR(J2&lt;&gt;TRUE,INPUTS_MONTH!$B$13&lt;&gt;TRUE),0,IF($K$2=0,0,(E2/$K$2)*INPUTS_MONTH!$B$12))</f>
        <v/>
      </c>
      <c r="H2">
        <f>SUMIFS(BOUNTY_EVENTS_MONTH!F:F,BOUNTY_EVENTS_MONTH!D:D,A2)</f>
        <v/>
      </c>
      <c r="I2">
        <f>H2+F2+G2</f>
        <v/>
      </c>
      <c r="J2" t="b">
        <v>1</v>
      </c>
      <c r="K2">
        <f>SUM(E:E)</f>
        <v/>
      </c>
    </row>
    <row r="3">
      <c r="A3" t="inlineStr">
        <is>
          <t>R2</t>
        </is>
      </c>
      <c r="B3" t="n">
        <v>1</v>
      </c>
      <c r="C3" t="b">
        <v>0</v>
      </c>
      <c r="D3">
        <f>OR(B3&gt;=3,C3=TRUE)</f>
        <v/>
      </c>
      <c r="E3">
        <f>IF(D3&lt;&gt;TRUE,0,SUMIFS(HOSTS!C:C,HOSTS!B:B,A3,HOSTS!H:H,TRUE))</f>
        <v/>
      </c>
      <c r="F3">
        <f>IF(D3&lt;&gt;TRUE,0,IF($K$2=0,0,(E3/$K$2)*INPUTS_MONTH!$B$11))</f>
        <v/>
      </c>
      <c r="G3">
        <f>IF(OR(J3&lt;&gt;TRUE,INPUTS_MONTH!$B$13&lt;&gt;TRUE),0,IF($K$2=0,0,(E3/$K$2)*INPUTS_MONTH!$B$12))</f>
        <v/>
      </c>
      <c r="H3">
        <f>SUMIFS(BOUNTY_EVENTS_MONTH!F:F,BOUNTY_EVENTS_MONTH!D:D,A3)</f>
        <v/>
      </c>
      <c r="I3">
        <f>H3+F3+G3</f>
        <v/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month</t>
        </is>
      </c>
      <c r="C1" t="inlineStr">
        <is>
          <t>host_id</t>
        </is>
      </c>
      <c r="D1" t="inlineStr">
        <is>
          <t>recruiter_id</t>
        </is>
      </c>
      <c r="E1" t="inlineStr">
        <is>
          <t>milestone_code</t>
        </is>
      </c>
      <c r="F1" t="inlineStr">
        <is>
          <t>amount_usd</t>
        </is>
      </c>
      <c r="G1" t="inlineStr">
        <is>
          <t>note</t>
        </is>
      </c>
    </row>
    <row r="2">
      <c r="A2" t="inlineStr">
        <is>
          <t>E1</t>
        </is>
      </c>
      <c r="B2" t="inlineStr">
        <is>
          <t>2026-03</t>
        </is>
      </c>
      <c r="C2" t="inlineStr">
        <is>
          <t>H1</t>
        </is>
      </c>
      <c r="D2" t="inlineStr">
        <is>
          <t>R1</t>
        </is>
      </c>
      <c r="E2" t="inlineStr">
        <is>
          <t>BEANS_5K</t>
        </is>
      </c>
      <c r="F2" t="n">
        <v>100</v>
      </c>
      <c r="G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2025-12-22T05:16:56Z</dcterms:created>
  <dcterms:modified xsi:type="dcterms:W3CDTF">2025-12-22T05:16:56Z</dcterms:modified>
</cp:coreProperties>
</file>